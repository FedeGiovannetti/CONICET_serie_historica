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640" windowHeight="11760" tabRatio="711" activeTab="1"/>
  </bookViews>
  <sheets>
    <sheet name="Postulantes 2021" sheetId="3" r:id="rId1"/>
    <sheet name="Postulantes 2022" sheetId="2" r:id="rId2"/>
    <sheet name="Postulantes 2023" sheetId="5" r:id="rId3"/>
    <sheet name="Postulantes otros 2023" sheetId="4" r:id="rId4"/>
    <sheet name="Ingresos 2022" sheetId="1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E31" i="2"/>
  <c r="E34" i="2"/>
  <c r="L33" i="2" l="1"/>
  <c r="E33" i="5"/>
  <c r="D33" i="5"/>
  <c r="D34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3" i="2"/>
  <c r="F12" i="2"/>
  <c r="F11" i="2"/>
  <c r="F10" i="2"/>
  <c r="F9" i="2"/>
  <c r="F8" i="2"/>
  <c r="F7" i="2"/>
  <c r="F6" i="2"/>
  <c r="F5" i="2"/>
  <c r="F4" i="2"/>
  <c r="F3" i="2"/>
  <c r="F2" i="5"/>
  <c r="D31" i="2"/>
  <c r="F4" i="5" l="1"/>
  <c r="F5" i="5"/>
  <c r="F6" i="5"/>
  <c r="F7" i="5"/>
  <c r="F8" i="5"/>
  <c r="F9" i="5"/>
  <c r="F10" i="5"/>
  <c r="F11" i="5"/>
  <c r="F12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" i="5"/>
  <c r="E30" i="5"/>
  <c r="D30" i="5"/>
  <c r="F30" i="5" s="1"/>
  <c r="C24" i="4"/>
  <c r="C23" i="4"/>
  <c r="C14" i="4"/>
  <c r="C5" i="4"/>
  <c r="C3" i="4"/>
  <c r="B34" i="3"/>
  <c r="H8" i="1"/>
  <c r="G8" i="1"/>
  <c r="F8" i="1"/>
  <c r="E8" i="1"/>
  <c r="D8" i="1"/>
  <c r="C8" i="1"/>
  <c r="H7" i="1"/>
  <c r="H6" i="1"/>
  <c r="C25" i="4" l="1"/>
</calcChain>
</file>

<file path=xl/sharedStrings.xml><?xml version="1.0" encoding="utf-8"?>
<sst xmlns="http://schemas.openxmlformats.org/spreadsheetml/2006/main" count="251" uniqueCount="111">
  <si>
    <t xml:space="preserve">Ingresos a Carrera de investigador Científico 2022 (aprobados en 2023) </t>
  </si>
  <si>
    <t>Aprobados</t>
  </si>
  <si>
    <t>GENERAL</t>
  </si>
  <si>
    <t>TEMAS ESTRATÉGICOS</t>
  </si>
  <si>
    <t>FORTALECIMIENTO IDI</t>
  </si>
  <si>
    <t>ESPECIALES</t>
  </si>
  <si>
    <t>EXTERIOR</t>
  </si>
  <si>
    <t>TOTAL</t>
  </si>
  <si>
    <t>Proporción</t>
  </si>
  <si>
    <t>Postulantes</t>
  </si>
  <si>
    <t>Postulantes convocatoria general Carrera de investigadores Científico 2022 (aprobados 2023)</t>
  </si>
  <si>
    <t>COMISIONES</t>
  </si>
  <si>
    <t>ARQUEOLOGÍA Y ANTROPOLOGÍA BIOLÓGICA</t>
  </si>
  <si>
    <t>ASTRONOMÍA</t>
  </si>
  <si>
    <t>BIOLOGÍA</t>
  </si>
  <si>
    <t>BIOQUÍMICA Y BIOLOGÍA MOLECULAR</t>
  </si>
  <si>
    <t>CIENCIAS AGRARIAS</t>
  </si>
  <si>
    <t>CIENCIAS AMBIENTALES</t>
  </si>
  <si>
    <t>CIENCIAS DE LA EDUCACIÓN</t>
  </si>
  <si>
    <t>CIENCIAS DE LA TIERRA, EL AGUA Y LA ATMÓSFERA</t>
  </si>
  <si>
    <t>CIENCIAS ANTROPOLÓGICAS</t>
  </si>
  <si>
    <t>CIENCIAS MÉDICAS</t>
  </si>
  <si>
    <t>DERECHO, CIENCIAS POLÍTICAS Y RELACIONES INTERNACIONALES</t>
  </si>
  <si>
    <t>DESARROLLO TECNOLÓGICO Y SOCIAL PROYECTOS COMPLEJOS</t>
  </si>
  <si>
    <t>ECONOMÍA, CS DE LA GESTIÓN Y DE LA ADMINISTRACIÓN PÚBLICA</t>
  </si>
  <si>
    <t>FILOSOFÍA</t>
  </si>
  <si>
    <t>FÍSICA</t>
  </si>
  <si>
    <t>HÁBITAT Y DISEÑO</t>
  </si>
  <si>
    <t>HISTORIA, GEOGRAFÍA</t>
  </si>
  <si>
    <t>INFORMÁTICA Y COMUNICACIONES</t>
  </si>
  <si>
    <t>INGENIERÍA CIVIL, ELÉCTRICA, MECÁNICA E INGENIERÍAS RELACIONADAS</t>
  </si>
  <si>
    <t>INGENIERÍA DE ALIMENTOS Y BIOTECNOLOGÍA</t>
  </si>
  <si>
    <t>INGENIERÍA DE PROCESOS</t>
  </si>
  <si>
    <t>INGENIERÍA Y TECNOLOGÍA DE MATERIALES</t>
  </si>
  <si>
    <t>LITERATURA, LINGÜÍSTICA Y SEMIÓTICA</t>
  </si>
  <si>
    <t>MATEMÁTICAS</t>
  </si>
  <si>
    <t>PSICOLOGÍA Y CIENCIAS DE LA EDUCACIÓN</t>
  </si>
  <si>
    <t>QUÍMICA</t>
  </si>
  <si>
    <t>SOCIOLOGÍA, COMUNICACIÓN SOCIAL Y DEMOGRAFÍA</t>
  </si>
  <si>
    <t>VETERINARIA</t>
  </si>
  <si>
    <t>Comisiones Asesoras Disciplinarias</t>
  </si>
  <si>
    <t>Ingresos a la CICyT – Convocatoria General</t>
  </si>
  <si>
    <t>INGENIERÍA CIVIL, ELÉCTRICA, MECÁNICA E INGENIERÍA RELACIONADAS</t>
  </si>
  <si>
    <t>SALUD – CICyT en Salud – ad-honorem</t>
  </si>
  <si>
    <t>otros ingresos</t>
  </si>
  <si>
    <t/>
  </si>
  <si>
    <t>INGRESOS</t>
  </si>
  <si>
    <t>FORTALECIMIENTO I+D+I</t>
  </si>
  <si>
    <t>CONVOCATORIAS ESPECIALES E INTERNACIONALES</t>
  </si>
  <si>
    <t>Ingresos CICyT Temas Estratégicos y Tecnología - Subcomisión Agroindustria</t>
  </si>
  <si>
    <t>Ingresos CICyT Temas Estratégicos y Tecnología - Subcomisión Ambiente y Desarrollo Sustentable</t>
  </si>
  <si>
    <t>Ingresos CICyT Temas Estratégicos y Tecnología - Subcomisión Desarrollo y Tecnología Social</t>
  </si>
  <si>
    <t>Ingresos CICyT Temas Estratégicos y Tecnología - Subcomisión Energía e Industria</t>
  </si>
  <si>
    <t>Ingresos CICyT Temas Estratégicos y Tecnología - Subcomisión Investigación y Tecnologías del Mar y de los Recursos Hídricos</t>
  </si>
  <si>
    <t>Ingresos CICyT Temas Estratégicos y Tecnología - Subcomisión Salud</t>
  </si>
  <si>
    <t>Ingresos CICyT Temas Estratégicos y Tecnología - Subcomisión Tecnología</t>
  </si>
  <si>
    <t>Ingresos CICyT Temas Estratégicos y Tecnología - Subcomisión Tecnología y Tema Estratégico</t>
  </si>
  <si>
    <t>Ingresos CICyT Temas Estratégicos y Tecnología - Subcomisión Transformación Digital</t>
  </si>
  <si>
    <t>Ingresos CICyT Proyectos Especiales Democracia y Derechos Humanos</t>
  </si>
  <si>
    <t>Ingresos CICyT Proyectos Especiales Programa POBLAR</t>
  </si>
  <si>
    <t>Ingresos CICyT Proyectos Especiales Nuevos Materiales</t>
  </si>
  <si>
    <t>Ingresos CICyT Proyectos Especiales Ciencias del Mar</t>
  </si>
  <si>
    <t>Ingresos CICyT Proyectos Especiales Desertificación y Sequía</t>
  </si>
  <si>
    <t>Ingresos CICyT Proyectos Especiales CIT</t>
  </si>
  <si>
    <t>Ingresos CICyT Proyectos Especiales Mendoza</t>
  </si>
  <si>
    <t>Ingresos CICyT Proyectos Especiales San Luis</t>
  </si>
  <si>
    <t>Ingresos CICyT Proyectos Especiales Tucumán</t>
  </si>
  <si>
    <t>Ingresos del Exterior 2023</t>
  </si>
  <si>
    <t>Postulantes ingreso a carrera 2023 temas IDI, estratégicos, especiales y exterior.</t>
  </si>
  <si>
    <t>Ingresos</t>
  </si>
  <si>
    <t>KS1</t>
  </si>
  <si>
    <t>KS2</t>
  </si>
  <si>
    <t>KS3</t>
  </si>
  <si>
    <t>KS4</t>
  </si>
  <si>
    <t>KS5</t>
  </si>
  <si>
    <t>KS6</t>
  </si>
  <si>
    <t>KS7</t>
  </si>
  <si>
    <t>KS8</t>
  </si>
  <si>
    <t>KS9</t>
  </si>
  <si>
    <t>KS10</t>
  </si>
  <si>
    <t>CODIGO.COMISIONES</t>
  </si>
  <si>
    <t>GRAN.AREA</t>
  </si>
  <si>
    <t>Sociales y humanidades</t>
  </si>
  <si>
    <t>KE1</t>
  </si>
  <si>
    <t>KE2</t>
  </si>
  <si>
    <t>KE3</t>
  </si>
  <si>
    <t>KE4</t>
  </si>
  <si>
    <t>KE5</t>
  </si>
  <si>
    <t>Ciencias Exactas y Naturales</t>
  </si>
  <si>
    <t>KB1</t>
  </si>
  <si>
    <t>KB2</t>
  </si>
  <si>
    <t>KB3</t>
  </si>
  <si>
    <t>KB4</t>
  </si>
  <si>
    <t>Ciencias Biológicas y de la Salud</t>
  </si>
  <si>
    <t>KA1</t>
  </si>
  <si>
    <t>KA2</t>
  </si>
  <si>
    <t>KA3</t>
  </si>
  <si>
    <t>KA4</t>
  </si>
  <si>
    <t>KA5</t>
  </si>
  <si>
    <t>KA6</t>
  </si>
  <si>
    <t>KA7</t>
  </si>
  <si>
    <t>KA8</t>
  </si>
  <si>
    <t>Ciencias agrarias, de las ingenierías y materiales</t>
  </si>
  <si>
    <t>Porcentaje</t>
  </si>
  <si>
    <t>Total sociales y humanidades</t>
  </si>
  <si>
    <t>uno cada 4</t>
  </si>
  <si>
    <t>1 cada 8</t>
  </si>
  <si>
    <t>Ciencias agrarias, de las ingenierías y de los materiales</t>
  </si>
  <si>
    <t>Ciencias biológicas y de la salud</t>
  </si>
  <si>
    <t>KV4</t>
  </si>
  <si>
    <t>Ciencias exactas y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</si>
</sst>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666A76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3" fillId="4" borderId="2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4" borderId="0" xfId="0" applyFont="1" applyFill="1"/>
    <xf numFmtId="2" fontId="3" fillId="4" borderId="0" xfId="0" applyNumberFormat="1" applyFont="1" applyFill="1" applyBorder="1"/>
    <xf numFmtId="2" fontId="0" fillId="5" borderId="0" xfId="0" applyNumberFormat="1" applyFill="1"/>
    <xf numFmtId="0" fontId="3" fillId="4" borderId="0" xfId="0" applyFont="1" applyFill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B2" sqref="B2"/>
    </sheetView>
  </sheetViews>
  <sheetFormatPr baseColWidth="10" defaultRowHeight="15" x14ac:dyDescent="0.25"/>
  <cols>
    <col min="1" max="1" width="68.140625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12</v>
      </c>
      <c r="B2">
        <v>17</v>
      </c>
    </row>
    <row r="3" spans="1:2" x14ac:dyDescent="0.25">
      <c r="A3" t="s">
        <v>13</v>
      </c>
      <c r="B3">
        <v>8</v>
      </c>
    </row>
    <row r="4" spans="1:2" x14ac:dyDescent="0.25">
      <c r="A4" t="s">
        <v>14</v>
      </c>
      <c r="B4">
        <v>85</v>
      </c>
    </row>
    <row r="5" spans="1:2" x14ac:dyDescent="0.25">
      <c r="A5" t="s">
        <v>15</v>
      </c>
      <c r="B5">
        <v>34</v>
      </c>
    </row>
    <row r="6" spans="1:2" x14ac:dyDescent="0.25">
      <c r="A6" t="s">
        <v>16</v>
      </c>
      <c r="B6">
        <v>26</v>
      </c>
    </row>
    <row r="7" spans="1:2" x14ac:dyDescent="0.25">
      <c r="A7" t="s">
        <v>17</v>
      </c>
      <c r="B7">
        <v>27</v>
      </c>
    </row>
    <row r="8" spans="1:2" x14ac:dyDescent="0.25">
      <c r="A8" t="s">
        <v>18</v>
      </c>
      <c r="B8">
        <v>14</v>
      </c>
    </row>
    <row r="9" spans="1:2" x14ac:dyDescent="0.25">
      <c r="A9" t="s">
        <v>19</v>
      </c>
      <c r="B9">
        <v>55</v>
      </c>
    </row>
    <row r="10" spans="1:2" x14ac:dyDescent="0.25">
      <c r="A10" t="s">
        <v>20</v>
      </c>
      <c r="B10">
        <v>18</v>
      </c>
    </row>
    <row r="11" spans="1:2" x14ac:dyDescent="0.25">
      <c r="A11" t="s">
        <v>21</v>
      </c>
      <c r="B11">
        <v>37</v>
      </c>
    </row>
    <row r="12" spans="1:2" x14ac:dyDescent="0.25">
      <c r="A12" t="s">
        <v>22</v>
      </c>
      <c r="B12">
        <v>32</v>
      </c>
    </row>
    <row r="13" spans="1:2" x14ac:dyDescent="0.25">
      <c r="A13" t="s">
        <v>23</v>
      </c>
      <c r="B13">
        <v>0</v>
      </c>
    </row>
    <row r="14" spans="1:2" x14ac:dyDescent="0.25">
      <c r="A14" t="s">
        <v>24</v>
      </c>
      <c r="B14">
        <v>19</v>
      </c>
    </row>
    <row r="15" spans="1:2" x14ac:dyDescent="0.25">
      <c r="A15" t="s">
        <v>25</v>
      </c>
      <c r="B15">
        <v>28</v>
      </c>
    </row>
    <row r="16" spans="1:2" x14ac:dyDescent="0.25">
      <c r="A16" t="s">
        <v>26</v>
      </c>
      <c r="B16">
        <v>20</v>
      </c>
    </row>
    <row r="17" spans="1:2" x14ac:dyDescent="0.25">
      <c r="A17" t="s">
        <v>27</v>
      </c>
      <c r="B17">
        <v>18</v>
      </c>
    </row>
    <row r="18" spans="1:2" x14ac:dyDescent="0.25">
      <c r="A18" t="s">
        <v>28</v>
      </c>
      <c r="B18">
        <v>61</v>
      </c>
    </row>
    <row r="19" spans="1:2" x14ac:dyDescent="0.25">
      <c r="A19" t="s">
        <v>29</v>
      </c>
      <c r="B19">
        <v>5</v>
      </c>
    </row>
    <row r="20" spans="1:2" x14ac:dyDescent="0.25">
      <c r="A20" t="s">
        <v>42</v>
      </c>
      <c r="B20">
        <v>6</v>
      </c>
    </row>
    <row r="21" spans="1:2" x14ac:dyDescent="0.25">
      <c r="A21" t="s">
        <v>31</v>
      </c>
      <c r="B21">
        <v>12</v>
      </c>
    </row>
    <row r="22" spans="1:2" x14ac:dyDescent="0.25">
      <c r="A22" t="s">
        <v>32</v>
      </c>
      <c r="B22">
        <v>17</v>
      </c>
    </row>
    <row r="23" spans="1:2" x14ac:dyDescent="0.25">
      <c r="A23" t="s">
        <v>33</v>
      </c>
      <c r="B23">
        <v>16</v>
      </c>
    </row>
    <row r="24" spans="1:2" x14ac:dyDescent="0.25">
      <c r="A24" t="s">
        <v>34</v>
      </c>
      <c r="B24">
        <v>65</v>
      </c>
    </row>
    <row r="25" spans="1:2" x14ac:dyDescent="0.25">
      <c r="A25" t="s">
        <v>35</v>
      </c>
      <c r="B25">
        <v>11</v>
      </c>
    </row>
    <row r="26" spans="1:2" x14ac:dyDescent="0.25">
      <c r="A26" t="s">
        <v>36</v>
      </c>
      <c r="B26">
        <v>10</v>
      </c>
    </row>
    <row r="27" spans="1:2" x14ac:dyDescent="0.25">
      <c r="A27" t="s">
        <v>37</v>
      </c>
      <c r="B27">
        <v>31</v>
      </c>
    </row>
    <row r="28" spans="1:2" x14ac:dyDescent="0.25">
      <c r="A28" t="s">
        <v>38</v>
      </c>
      <c r="B28">
        <v>61</v>
      </c>
    </row>
    <row r="29" spans="1:2" x14ac:dyDescent="0.25">
      <c r="A29" t="s">
        <v>39</v>
      </c>
      <c r="B29">
        <v>19</v>
      </c>
    </row>
    <row r="30" spans="1:2" x14ac:dyDescent="0.25">
      <c r="A30" t="s">
        <v>43</v>
      </c>
      <c r="B30">
        <v>0</v>
      </c>
    </row>
    <row r="31" spans="1:2" x14ac:dyDescent="0.25">
      <c r="A31" t="s">
        <v>7</v>
      </c>
      <c r="B31">
        <v>752</v>
      </c>
    </row>
    <row r="33" spans="1:2" x14ac:dyDescent="0.25">
      <c r="A33" t="s">
        <v>44</v>
      </c>
      <c r="B33">
        <v>639</v>
      </c>
    </row>
    <row r="34" spans="1:2" x14ac:dyDescent="0.25">
      <c r="B34">
        <f>SUM(B31:B33)</f>
        <v>1391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zoomScale="70" zoomScaleNormal="70" workbookViewId="0">
      <selection activeCell="E31" sqref="E31"/>
    </sheetView>
  </sheetViews>
  <sheetFormatPr baseColWidth="10" defaultRowHeight="15" x14ac:dyDescent="0.25"/>
  <cols>
    <col min="1" max="1" width="57" customWidth="1"/>
    <col min="3" max="3" width="30" customWidth="1"/>
  </cols>
  <sheetData>
    <row r="1" spans="1:6" x14ac:dyDescent="0.25">
      <c r="A1" t="s">
        <v>10</v>
      </c>
    </row>
    <row r="2" spans="1:6" x14ac:dyDescent="0.25">
      <c r="A2" s="9" t="s">
        <v>81</v>
      </c>
      <c r="B2" s="9" t="s">
        <v>80</v>
      </c>
      <c r="C2" s="12" t="s">
        <v>11</v>
      </c>
      <c r="D2" s="12" t="s">
        <v>9</v>
      </c>
      <c r="E2" s="9" t="s">
        <v>69</v>
      </c>
      <c r="F2" s="10" t="s">
        <v>103</v>
      </c>
    </row>
    <row r="3" spans="1:6" x14ac:dyDescent="0.25">
      <c r="A3" t="s">
        <v>82</v>
      </c>
      <c r="B3" s="13" t="s">
        <v>77</v>
      </c>
      <c r="C3" t="s">
        <v>12</v>
      </c>
      <c r="D3">
        <v>26</v>
      </c>
      <c r="E3">
        <v>7</v>
      </c>
      <c r="F3" s="1">
        <f>(E3/D3)*100</f>
        <v>26.923076923076923</v>
      </c>
    </row>
    <row r="4" spans="1:6" x14ac:dyDescent="0.25">
      <c r="A4" t="s">
        <v>110</v>
      </c>
      <c r="B4" t="s">
        <v>86</v>
      </c>
      <c r="C4" t="s">
        <v>13</v>
      </c>
      <c r="D4">
        <v>14</v>
      </c>
      <c r="E4">
        <v>10</v>
      </c>
      <c r="F4" s="1">
        <f t="shared" ref="F4:F31" si="0">(E4/D4)*100</f>
        <v>71.428571428571431</v>
      </c>
    </row>
    <row r="5" spans="1:6" x14ac:dyDescent="0.25">
      <c r="A5" t="s">
        <v>108</v>
      </c>
      <c r="B5" t="s">
        <v>90</v>
      </c>
      <c r="C5" t="s">
        <v>14</v>
      </c>
      <c r="D5">
        <v>98</v>
      </c>
      <c r="E5">
        <v>39</v>
      </c>
      <c r="F5" s="1">
        <f t="shared" si="0"/>
        <v>39.795918367346935</v>
      </c>
    </row>
    <row r="6" spans="1:6" x14ac:dyDescent="0.25">
      <c r="A6" t="s">
        <v>108</v>
      </c>
      <c r="B6" t="s">
        <v>91</v>
      </c>
      <c r="C6" t="s">
        <v>15</v>
      </c>
      <c r="D6">
        <v>62</v>
      </c>
      <c r="E6">
        <v>26</v>
      </c>
      <c r="F6" s="1">
        <f t="shared" si="0"/>
        <v>41.935483870967744</v>
      </c>
    </row>
    <row r="7" spans="1:6" x14ac:dyDescent="0.25">
      <c r="A7" t="s">
        <v>107</v>
      </c>
      <c r="B7" t="s">
        <v>94</v>
      </c>
      <c r="C7" t="s">
        <v>16</v>
      </c>
      <c r="D7">
        <v>43</v>
      </c>
      <c r="E7">
        <v>15</v>
      </c>
      <c r="F7" s="1">
        <f t="shared" si="0"/>
        <v>34.883720930232556</v>
      </c>
    </row>
    <row r="8" spans="1:6" x14ac:dyDescent="0.25">
      <c r="A8" t="s">
        <v>107</v>
      </c>
      <c r="B8" t="s">
        <v>100</v>
      </c>
      <c r="C8" t="s">
        <v>17</v>
      </c>
      <c r="D8">
        <v>54</v>
      </c>
      <c r="E8">
        <v>14</v>
      </c>
      <c r="F8" s="1">
        <f t="shared" si="0"/>
        <v>25.925925925925924</v>
      </c>
    </row>
    <row r="9" spans="1:6" x14ac:dyDescent="0.25">
      <c r="A9" t="s">
        <v>82</v>
      </c>
      <c r="B9" t="s">
        <v>79</v>
      </c>
      <c r="C9" t="s">
        <v>18</v>
      </c>
      <c r="D9">
        <v>20</v>
      </c>
      <c r="E9">
        <v>6</v>
      </c>
      <c r="F9" s="1">
        <f t="shared" si="0"/>
        <v>30</v>
      </c>
    </row>
    <row r="10" spans="1:6" x14ac:dyDescent="0.25">
      <c r="A10" t="s">
        <v>110</v>
      </c>
      <c r="B10" t="s">
        <v>83</v>
      </c>
      <c r="C10" t="s">
        <v>19</v>
      </c>
      <c r="D10">
        <v>75</v>
      </c>
      <c r="E10">
        <v>39</v>
      </c>
      <c r="F10" s="1">
        <f t="shared" si="0"/>
        <v>52</v>
      </c>
    </row>
    <row r="11" spans="1:6" x14ac:dyDescent="0.25">
      <c r="A11" t="s">
        <v>82</v>
      </c>
      <c r="B11" t="s">
        <v>78</v>
      </c>
      <c r="C11" t="s">
        <v>20</v>
      </c>
      <c r="D11">
        <v>25</v>
      </c>
      <c r="E11">
        <v>7</v>
      </c>
      <c r="F11" s="1">
        <f t="shared" si="0"/>
        <v>28.000000000000004</v>
      </c>
    </row>
    <row r="12" spans="1:6" x14ac:dyDescent="0.25">
      <c r="A12" t="s">
        <v>108</v>
      </c>
      <c r="B12" t="s">
        <v>89</v>
      </c>
      <c r="C12" t="s">
        <v>21</v>
      </c>
      <c r="D12">
        <v>69</v>
      </c>
      <c r="E12">
        <v>27</v>
      </c>
      <c r="F12" s="1">
        <f t="shared" si="0"/>
        <v>39.130434782608695</v>
      </c>
    </row>
    <row r="13" spans="1:6" x14ac:dyDescent="0.25">
      <c r="A13" t="s">
        <v>82</v>
      </c>
      <c r="B13" t="s">
        <v>70</v>
      </c>
      <c r="C13" t="s">
        <v>22</v>
      </c>
      <c r="D13">
        <v>42</v>
      </c>
      <c r="E13">
        <v>11</v>
      </c>
      <c r="F13" s="1">
        <f t="shared" si="0"/>
        <v>26.190476190476193</v>
      </c>
    </row>
    <row r="14" spans="1:6" x14ac:dyDescent="0.25">
      <c r="C14" t="s">
        <v>23</v>
      </c>
      <c r="D14">
        <v>0</v>
      </c>
      <c r="F14" s="1"/>
    </row>
    <row r="15" spans="1:6" x14ac:dyDescent="0.25">
      <c r="A15" t="s">
        <v>82</v>
      </c>
      <c r="B15" t="s">
        <v>75</v>
      </c>
      <c r="C15" t="s">
        <v>24</v>
      </c>
      <c r="D15">
        <v>19</v>
      </c>
      <c r="E15">
        <v>5</v>
      </c>
      <c r="F15" s="1">
        <f t="shared" si="0"/>
        <v>26.315789473684209</v>
      </c>
    </row>
    <row r="16" spans="1:6" x14ac:dyDescent="0.25">
      <c r="A16" t="s">
        <v>82</v>
      </c>
      <c r="B16" t="s">
        <v>72</v>
      </c>
      <c r="C16" t="s">
        <v>25</v>
      </c>
      <c r="D16">
        <v>49</v>
      </c>
      <c r="E16">
        <v>11</v>
      </c>
      <c r="F16" s="1">
        <f t="shared" si="0"/>
        <v>22.448979591836736</v>
      </c>
    </row>
    <row r="17" spans="1:12" x14ac:dyDescent="0.25">
      <c r="A17" t="s">
        <v>110</v>
      </c>
      <c r="B17" t="s">
        <v>85</v>
      </c>
      <c r="C17" t="s">
        <v>26</v>
      </c>
      <c r="D17">
        <v>28</v>
      </c>
      <c r="E17">
        <v>18</v>
      </c>
      <c r="F17" s="1">
        <f t="shared" si="0"/>
        <v>64.285714285714292</v>
      </c>
    </row>
    <row r="18" spans="1:12" x14ac:dyDescent="0.25">
      <c r="A18" t="s">
        <v>107</v>
      </c>
      <c r="B18" t="s">
        <v>96</v>
      </c>
      <c r="C18" t="s">
        <v>27</v>
      </c>
      <c r="D18">
        <v>25</v>
      </c>
      <c r="E18">
        <v>14</v>
      </c>
      <c r="F18" s="1">
        <f t="shared" si="0"/>
        <v>56.000000000000007</v>
      </c>
    </row>
    <row r="19" spans="1:12" x14ac:dyDescent="0.25">
      <c r="A19" t="s">
        <v>82</v>
      </c>
      <c r="B19" t="s">
        <v>73</v>
      </c>
      <c r="C19" t="s">
        <v>28</v>
      </c>
      <c r="D19">
        <v>73</v>
      </c>
      <c r="E19">
        <v>18</v>
      </c>
      <c r="F19" s="1">
        <f t="shared" si="0"/>
        <v>24.657534246575342</v>
      </c>
    </row>
    <row r="20" spans="1:12" x14ac:dyDescent="0.25">
      <c r="A20" t="s">
        <v>107</v>
      </c>
      <c r="B20" t="s">
        <v>97</v>
      </c>
      <c r="C20" t="s">
        <v>29</v>
      </c>
      <c r="D20">
        <v>17</v>
      </c>
      <c r="E20">
        <v>15</v>
      </c>
      <c r="F20" s="1">
        <f t="shared" si="0"/>
        <v>88.235294117647058</v>
      </c>
    </row>
    <row r="21" spans="1:12" x14ac:dyDescent="0.25">
      <c r="A21" t="s">
        <v>107</v>
      </c>
      <c r="B21" t="s">
        <v>95</v>
      </c>
      <c r="C21" t="s">
        <v>30</v>
      </c>
      <c r="D21">
        <v>13</v>
      </c>
      <c r="E21">
        <v>9</v>
      </c>
      <c r="F21" s="1">
        <f t="shared" si="0"/>
        <v>69.230769230769226</v>
      </c>
    </row>
    <row r="22" spans="1:12" x14ac:dyDescent="0.25">
      <c r="A22" t="s">
        <v>107</v>
      </c>
      <c r="B22" t="s">
        <v>101</v>
      </c>
      <c r="C22" t="s">
        <v>31</v>
      </c>
      <c r="D22">
        <v>25</v>
      </c>
      <c r="E22">
        <v>14</v>
      </c>
      <c r="F22" s="1">
        <f t="shared" si="0"/>
        <v>56.000000000000007</v>
      </c>
    </row>
    <row r="23" spans="1:12" x14ac:dyDescent="0.25">
      <c r="A23" t="s">
        <v>107</v>
      </c>
      <c r="B23" t="s">
        <v>98</v>
      </c>
      <c r="C23" t="s">
        <v>32</v>
      </c>
      <c r="D23">
        <v>22</v>
      </c>
      <c r="E23">
        <v>13</v>
      </c>
      <c r="F23" s="1">
        <f t="shared" si="0"/>
        <v>59.090909090909093</v>
      </c>
    </row>
    <row r="24" spans="1:12" x14ac:dyDescent="0.25">
      <c r="A24" t="s">
        <v>107</v>
      </c>
      <c r="B24" t="s">
        <v>99</v>
      </c>
      <c r="C24" t="s">
        <v>33</v>
      </c>
      <c r="D24">
        <v>28</v>
      </c>
      <c r="E24">
        <v>15</v>
      </c>
      <c r="F24" s="1">
        <f t="shared" si="0"/>
        <v>53.571428571428569</v>
      </c>
    </row>
    <row r="25" spans="1:12" x14ac:dyDescent="0.25">
      <c r="A25" t="s">
        <v>82</v>
      </c>
      <c r="B25" t="s">
        <v>71</v>
      </c>
      <c r="C25" t="s">
        <v>34</v>
      </c>
      <c r="D25">
        <v>81</v>
      </c>
      <c r="E25">
        <v>19</v>
      </c>
      <c r="F25" s="1">
        <f t="shared" si="0"/>
        <v>23.456790123456788</v>
      </c>
    </row>
    <row r="26" spans="1:12" x14ac:dyDescent="0.25">
      <c r="A26" t="s">
        <v>110</v>
      </c>
      <c r="B26" t="s">
        <v>84</v>
      </c>
      <c r="C26" t="s">
        <v>35</v>
      </c>
      <c r="D26">
        <v>24</v>
      </c>
      <c r="E26">
        <v>13</v>
      </c>
      <c r="F26" s="1">
        <f t="shared" si="0"/>
        <v>54.166666666666664</v>
      </c>
    </row>
    <row r="27" spans="1:12" x14ac:dyDescent="0.25">
      <c r="A27" t="s">
        <v>82</v>
      </c>
      <c r="B27" t="s">
        <v>76</v>
      </c>
      <c r="C27" t="s">
        <v>36</v>
      </c>
      <c r="D27">
        <v>20</v>
      </c>
      <c r="E27">
        <v>5</v>
      </c>
      <c r="F27" s="1">
        <f t="shared" si="0"/>
        <v>25</v>
      </c>
    </row>
    <row r="28" spans="1:12" x14ac:dyDescent="0.25">
      <c r="A28" t="s">
        <v>110</v>
      </c>
      <c r="B28" t="s">
        <v>87</v>
      </c>
      <c r="C28" t="s">
        <v>37</v>
      </c>
      <c r="D28">
        <v>46</v>
      </c>
      <c r="E28">
        <v>29</v>
      </c>
      <c r="F28" s="1">
        <f t="shared" si="0"/>
        <v>63.04347826086957</v>
      </c>
    </row>
    <row r="29" spans="1:12" x14ac:dyDescent="0.25">
      <c r="A29" t="s">
        <v>82</v>
      </c>
      <c r="B29" t="s">
        <v>74</v>
      </c>
      <c r="C29" t="s">
        <v>38</v>
      </c>
      <c r="D29">
        <v>85</v>
      </c>
      <c r="E29">
        <v>20</v>
      </c>
      <c r="F29" s="1">
        <f t="shared" si="0"/>
        <v>23.52941176470588</v>
      </c>
    </row>
    <row r="30" spans="1:12" x14ac:dyDescent="0.25">
      <c r="A30" t="s">
        <v>108</v>
      </c>
      <c r="B30" t="s">
        <v>109</v>
      </c>
      <c r="C30" t="s">
        <v>39</v>
      </c>
      <c r="D30">
        <v>34</v>
      </c>
      <c r="E30">
        <v>17</v>
      </c>
      <c r="F30" s="1">
        <f t="shared" si="0"/>
        <v>50</v>
      </c>
    </row>
    <row r="31" spans="1:12" x14ac:dyDescent="0.25">
      <c r="C31" t="s">
        <v>7</v>
      </c>
      <c r="D31">
        <f>SUM(D3:D30)</f>
        <v>1117</v>
      </c>
      <c r="E31">
        <f>SUM(E3:E30)</f>
        <v>436</v>
      </c>
      <c r="F31" s="1">
        <f t="shared" si="0"/>
        <v>39.033124440465535</v>
      </c>
    </row>
    <row r="32" spans="1:12" x14ac:dyDescent="0.25">
      <c r="K32">
        <v>440</v>
      </c>
      <c r="L32">
        <v>100</v>
      </c>
    </row>
    <row r="33" spans="1:12" x14ac:dyDescent="0.25">
      <c r="K33">
        <v>325</v>
      </c>
      <c r="L33">
        <f>K33*L32/K32</f>
        <v>73.86363636363636</v>
      </c>
    </row>
    <row r="34" spans="1:12" x14ac:dyDescent="0.25">
      <c r="A34" t="s">
        <v>104</v>
      </c>
      <c r="D34">
        <f>D3+D9+D11+D13+D15+D16+D19+D25+D27+D29</f>
        <v>440</v>
      </c>
      <c r="E34">
        <f>E3+E9+E11+E13+E15+E16+E19+E25+E27+E29</f>
        <v>109</v>
      </c>
      <c r="F34" t="s">
        <v>105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70" zoomScaleNormal="70" workbookViewId="0">
      <selection activeCell="G5" sqref="G5"/>
    </sheetView>
  </sheetViews>
  <sheetFormatPr baseColWidth="10" defaultRowHeight="15" x14ac:dyDescent="0.25"/>
  <cols>
    <col min="1" max="1" width="28.85546875" style="6" customWidth="1"/>
    <col min="2" max="2" width="17.5703125" style="6" customWidth="1"/>
    <col min="3" max="3" width="40.28515625" style="6" customWidth="1"/>
    <col min="4" max="4" width="19.7109375" style="6" customWidth="1"/>
    <col min="5" max="5" width="11.42578125" style="6"/>
    <col min="6" max="6" width="13.5703125" style="1" bestFit="1" customWidth="1"/>
  </cols>
  <sheetData>
    <row r="1" spans="1:8" x14ac:dyDescent="0.25">
      <c r="A1" s="9" t="s">
        <v>81</v>
      </c>
      <c r="B1" s="9" t="s">
        <v>80</v>
      </c>
      <c r="C1" s="7" t="s">
        <v>11</v>
      </c>
      <c r="D1" s="8" t="s">
        <v>9</v>
      </c>
      <c r="E1" s="9" t="s">
        <v>69</v>
      </c>
      <c r="F1" s="10" t="s">
        <v>103</v>
      </c>
    </row>
    <row r="2" spans="1:8" x14ac:dyDescent="0.25">
      <c r="A2" s="6" t="s">
        <v>82</v>
      </c>
      <c r="B2" s="6" t="s">
        <v>77</v>
      </c>
      <c r="C2" s="6" t="s">
        <v>12</v>
      </c>
      <c r="D2" s="6">
        <v>17</v>
      </c>
      <c r="E2" s="6">
        <v>3</v>
      </c>
      <c r="F2" s="11">
        <f>(E2/D2)*100</f>
        <v>17.647058823529413</v>
      </c>
    </row>
    <row r="3" spans="1:8" x14ac:dyDescent="0.25">
      <c r="A3" s="6" t="s">
        <v>88</v>
      </c>
      <c r="B3" s="6" t="s">
        <v>86</v>
      </c>
      <c r="C3" s="6" t="s">
        <v>13</v>
      </c>
      <c r="D3" s="6">
        <v>8</v>
      </c>
      <c r="E3" s="6">
        <v>6</v>
      </c>
      <c r="F3" s="1">
        <f>(E3/D3)*100</f>
        <v>75</v>
      </c>
    </row>
    <row r="4" spans="1:8" x14ac:dyDescent="0.25">
      <c r="A4" s="6" t="s">
        <v>93</v>
      </c>
      <c r="B4" s="6" t="s">
        <v>90</v>
      </c>
      <c r="C4" s="6" t="s">
        <v>14</v>
      </c>
      <c r="D4" s="6">
        <v>85</v>
      </c>
      <c r="E4" s="6">
        <v>21</v>
      </c>
      <c r="F4" s="1">
        <f t="shared" ref="F4:F30" si="0">(E4/D4)*100</f>
        <v>24.705882352941178</v>
      </c>
    </row>
    <row r="5" spans="1:8" ht="18" x14ac:dyDescent="0.25">
      <c r="A5" s="6" t="s">
        <v>93</v>
      </c>
      <c r="B5" s="6" t="s">
        <v>91</v>
      </c>
      <c r="C5" s="6" t="s">
        <v>15</v>
      </c>
      <c r="D5" s="6">
        <v>34</v>
      </c>
      <c r="E5" s="6">
        <v>12</v>
      </c>
      <c r="F5" s="1">
        <f t="shared" si="0"/>
        <v>35.294117647058826</v>
      </c>
      <c r="G5" s="2"/>
      <c r="H5" s="3"/>
    </row>
    <row r="6" spans="1:8" ht="18" x14ac:dyDescent="0.25">
      <c r="A6" s="6" t="s">
        <v>102</v>
      </c>
      <c r="B6" s="6" t="s">
        <v>94</v>
      </c>
      <c r="C6" s="6" t="s">
        <v>16</v>
      </c>
      <c r="D6" s="6">
        <v>26</v>
      </c>
      <c r="E6" s="6">
        <v>9</v>
      </c>
      <c r="F6" s="1">
        <f t="shared" si="0"/>
        <v>34.615384615384613</v>
      </c>
      <c r="G6" s="4"/>
      <c r="H6" s="5"/>
    </row>
    <row r="7" spans="1:8" ht="18" x14ac:dyDescent="0.25">
      <c r="A7" s="6" t="s">
        <v>102</v>
      </c>
      <c r="B7" s="6" t="s">
        <v>100</v>
      </c>
      <c r="C7" s="6" t="s">
        <v>17</v>
      </c>
      <c r="D7" s="6">
        <v>27</v>
      </c>
      <c r="E7" s="6">
        <v>7</v>
      </c>
      <c r="F7" s="1">
        <f t="shared" si="0"/>
        <v>25.925925925925924</v>
      </c>
      <c r="G7" s="2"/>
      <c r="H7" s="3"/>
    </row>
    <row r="8" spans="1:8" ht="18" x14ac:dyDescent="0.25">
      <c r="A8" s="6" t="s">
        <v>82</v>
      </c>
      <c r="B8" s="6" t="s">
        <v>79</v>
      </c>
      <c r="C8" s="6" t="s">
        <v>18</v>
      </c>
      <c r="D8" s="6">
        <v>14</v>
      </c>
      <c r="E8" s="6">
        <v>2</v>
      </c>
      <c r="F8" s="11">
        <f t="shared" si="0"/>
        <v>14.285714285714285</v>
      </c>
      <c r="G8" s="4"/>
      <c r="H8" s="5"/>
    </row>
    <row r="9" spans="1:8" ht="18" x14ac:dyDescent="0.25">
      <c r="A9" s="6" t="s">
        <v>88</v>
      </c>
      <c r="B9" s="6" t="s">
        <v>83</v>
      </c>
      <c r="C9" s="6" t="s">
        <v>19</v>
      </c>
      <c r="D9" s="6">
        <v>55</v>
      </c>
      <c r="E9" s="6">
        <v>32</v>
      </c>
      <c r="F9" s="1">
        <f t="shared" si="0"/>
        <v>58.18181818181818</v>
      </c>
      <c r="G9" s="2"/>
      <c r="H9" s="3"/>
    </row>
    <row r="10" spans="1:8" ht="18" x14ac:dyDescent="0.25">
      <c r="A10" s="6" t="s">
        <v>82</v>
      </c>
      <c r="B10" s="6" t="s">
        <v>78</v>
      </c>
      <c r="C10" s="6" t="s">
        <v>20</v>
      </c>
      <c r="D10" s="6">
        <v>18</v>
      </c>
      <c r="E10" s="6">
        <v>2</v>
      </c>
      <c r="F10" s="11">
        <f t="shared" si="0"/>
        <v>11.111111111111111</v>
      </c>
      <c r="G10" s="4"/>
      <c r="H10" s="5"/>
    </row>
    <row r="11" spans="1:8" ht="18" x14ac:dyDescent="0.25">
      <c r="A11" s="6" t="s">
        <v>93</v>
      </c>
      <c r="B11" s="6" t="s">
        <v>89</v>
      </c>
      <c r="C11" s="6" t="s">
        <v>21</v>
      </c>
      <c r="D11" s="6">
        <v>37</v>
      </c>
      <c r="E11" s="6">
        <v>15</v>
      </c>
      <c r="F11" s="1">
        <f t="shared" si="0"/>
        <v>40.54054054054054</v>
      </c>
      <c r="G11" s="2"/>
      <c r="H11" s="3"/>
    </row>
    <row r="12" spans="1:8" ht="18" x14ac:dyDescent="0.25">
      <c r="A12" s="6" t="s">
        <v>82</v>
      </c>
      <c r="B12" s="6" t="s">
        <v>70</v>
      </c>
      <c r="C12" s="6" t="s">
        <v>22</v>
      </c>
      <c r="D12" s="6">
        <v>32</v>
      </c>
      <c r="E12" s="6">
        <v>5</v>
      </c>
      <c r="F12" s="11">
        <f t="shared" si="0"/>
        <v>15.625</v>
      </c>
      <c r="G12" s="4"/>
      <c r="H12" s="5"/>
    </row>
    <row r="13" spans="1:8" ht="18" x14ac:dyDescent="0.25">
      <c r="C13" s="6" t="s">
        <v>23</v>
      </c>
      <c r="G13" s="2"/>
      <c r="H13" s="3"/>
    </row>
    <row r="14" spans="1:8" x14ac:dyDescent="0.25">
      <c r="A14" s="6" t="s">
        <v>82</v>
      </c>
      <c r="B14" s="6" t="s">
        <v>75</v>
      </c>
      <c r="C14" s="6" t="s">
        <v>24</v>
      </c>
      <c r="D14" s="6">
        <v>19</v>
      </c>
      <c r="E14" s="6">
        <v>3</v>
      </c>
      <c r="F14" s="11">
        <f t="shared" si="0"/>
        <v>15.789473684210526</v>
      </c>
    </row>
    <row r="15" spans="1:8" x14ac:dyDescent="0.25">
      <c r="A15" s="6" t="s">
        <v>82</v>
      </c>
      <c r="B15" s="6" t="s">
        <v>72</v>
      </c>
      <c r="C15" s="6" t="s">
        <v>25</v>
      </c>
      <c r="D15" s="6">
        <v>28</v>
      </c>
      <c r="E15" s="6">
        <v>3</v>
      </c>
      <c r="F15" s="11">
        <f t="shared" si="0"/>
        <v>10.714285714285714</v>
      </c>
    </row>
    <row r="16" spans="1:8" ht="18" x14ac:dyDescent="0.25">
      <c r="A16" s="6" t="s">
        <v>88</v>
      </c>
      <c r="B16" s="6" t="s">
        <v>85</v>
      </c>
      <c r="C16" s="6" t="s">
        <v>26</v>
      </c>
      <c r="D16" s="6">
        <v>20</v>
      </c>
      <c r="E16" s="6">
        <v>8</v>
      </c>
      <c r="F16" s="1">
        <f t="shared" si="0"/>
        <v>40</v>
      </c>
      <c r="G16" s="2"/>
      <c r="H16" s="3"/>
    </row>
    <row r="17" spans="1:8" ht="18" x14ac:dyDescent="0.25">
      <c r="A17" s="6" t="s">
        <v>102</v>
      </c>
      <c r="B17" s="6" t="s">
        <v>96</v>
      </c>
      <c r="C17" s="6" t="s">
        <v>27</v>
      </c>
      <c r="D17" s="6">
        <v>18</v>
      </c>
      <c r="E17" s="6">
        <v>6</v>
      </c>
      <c r="F17" s="1">
        <f t="shared" si="0"/>
        <v>33.333333333333329</v>
      </c>
      <c r="G17" s="4"/>
      <c r="H17" s="5"/>
    </row>
    <row r="18" spans="1:8" ht="18" x14ac:dyDescent="0.25">
      <c r="A18" s="6" t="s">
        <v>82</v>
      </c>
      <c r="B18" s="6" t="s">
        <v>73</v>
      </c>
      <c r="C18" s="6" t="s">
        <v>28</v>
      </c>
      <c r="D18" s="6">
        <v>61</v>
      </c>
      <c r="E18" s="6">
        <v>6</v>
      </c>
      <c r="F18" s="11">
        <f t="shared" si="0"/>
        <v>9.8360655737704921</v>
      </c>
      <c r="G18" s="2"/>
      <c r="H18" s="3"/>
    </row>
    <row r="19" spans="1:8" ht="18" x14ac:dyDescent="0.25">
      <c r="A19" s="6" t="s">
        <v>102</v>
      </c>
      <c r="B19" s="6" t="s">
        <v>97</v>
      </c>
      <c r="C19" s="6" t="s">
        <v>29</v>
      </c>
      <c r="D19" s="6">
        <v>5</v>
      </c>
      <c r="E19" s="6">
        <v>3</v>
      </c>
      <c r="F19" s="1">
        <f t="shared" si="0"/>
        <v>60</v>
      </c>
      <c r="G19" s="4"/>
      <c r="H19" s="5"/>
    </row>
    <row r="20" spans="1:8" ht="18" x14ac:dyDescent="0.25">
      <c r="A20" s="6" t="s">
        <v>102</v>
      </c>
      <c r="B20" s="6" t="s">
        <v>95</v>
      </c>
      <c r="C20" s="6" t="s">
        <v>30</v>
      </c>
      <c r="D20" s="6">
        <v>6</v>
      </c>
      <c r="E20" s="6">
        <v>3</v>
      </c>
      <c r="F20" s="1">
        <f t="shared" si="0"/>
        <v>50</v>
      </c>
      <c r="G20" s="2"/>
      <c r="H20" s="3"/>
    </row>
    <row r="21" spans="1:8" ht="18" x14ac:dyDescent="0.25">
      <c r="A21" s="6" t="s">
        <v>102</v>
      </c>
      <c r="B21" s="6" t="s">
        <v>101</v>
      </c>
      <c r="C21" s="6" t="s">
        <v>31</v>
      </c>
      <c r="D21" s="6">
        <v>12</v>
      </c>
      <c r="E21" s="6">
        <v>4</v>
      </c>
      <c r="F21" s="1">
        <f t="shared" si="0"/>
        <v>33.333333333333329</v>
      </c>
      <c r="G21" s="4"/>
      <c r="H21" s="5"/>
    </row>
    <row r="22" spans="1:8" ht="18" x14ac:dyDescent="0.25">
      <c r="A22" s="6" t="s">
        <v>102</v>
      </c>
      <c r="B22" s="6" t="s">
        <v>98</v>
      </c>
      <c r="C22" s="6" t="s">
        <v>32</v>
      </c>
      <c r="D22" s="6">
        <v>17</v>
      </c>
      <c r="E22" s="6">
        <v>6</v>
      </c>
      <c r="F22" s="1">
        <f t="shared" si="0"/>
        <v>35.294117647058826</v>
      </c>
      <c r="G22" s="2"/>
      <c r="H22" s="3"/>
    </row>
    <row r="23" spans="1:8" ht="18" x14ac:dyDescent="0.25">
      <c r="A23" s="6" t="s">
        <v>102</v>
      </c>
      <c r="B23" s="6" t="s">
        <v>99</v>
      </c>
      <c r="C23" s="6" t="s">
        <v>33</v>
      </c>
      <c r="D23" s="6">
        <v>16</v>
      </c>
      <c r="E23" s="6">
        <v>6</v>
      </c>
      <c r="F23" s="1">
        <f t="shared" si="0"/>
        <v>37.5</v>
      </c>
      <c r="G23" s="4"/>
      <c r="H23" s="5"/>
    </row>
    <row r="24" spans="1:8" ht="18" x14ac:dyDescent="0.25">
      <c r="A24" s="6" t="s">
        <v>82</v>
      </c>
      <c r="B24" s="6" t="s">
        <v>71</v>
      </c>
      <c r="C24" s="6" t="s">
        <v>34</v>
      </c>
      <c r="D24" s="6">
        <v>65</v>
      </c>
      <c r="E24" s="6">
        <v>7</v>
      </c>
      <c r="F24" s="11">
        <f t="shared" si="0"/>
        <v>10.76923076923077</v>
      </c>
      <c r="G24" s="2"/>
      <c r="H24" s="3"/>
    </row>
    <row r="25" spans="1:8" ht="18" x14ac:dyDescent="0.25">
      <c r="A25" s="6" t="s">
        <v>88</v>
      </c>
      <c r="B25" s="6" t="s">
        <v>84</v>
      </c>
      <c r="C25" s="6" t="s">
        <v>35</v>
      </c>
      <c r="D25" s="6">
        <v>11</v>
      </c>
      <c r="E25" s="6">
        <v>8</v>
      </c>
      <c r="F25" s="1">
        <f t="shared" si="0"/>
        <v>72.727272727272734</v>
      </c>
      <c r="G25" s="4"/>
      <c r="H25" s="5"/>
    </row>
    <row r="26" spans="1:8" x14ac:dyDescent="0.25">
      <c r="A26" s="6" t="s">
        <v>82</v>
      </c>
      <c r="B26" s="6" t="s">
        <v>76</v>
      </c>
      <c r="C26" s="6" t="s">
        <v>36</v>
      </c>
      <c r="D26" s="6">
        <v>10</v>
      </c>
      <c r="E26" s="6">
        <v>2</v>
      </c>
      <c r="F26" s="1">
        <f t="shared" si="0"/>
        <v>20</v>
      </c>
    </row>
    <row r="27" spans="1:8" x14ac:dyDescent="0.25">
      <c r="A27" s="6" t="s">
        <v>88</v>
      </c>
      <c r="B27" s="6" t="s">
        <v>87</v>
      </c>
      <c r="C27" s="6" t="s">
        <v>37</v>
      </c>
      <c r="D27" s="6">
        <v>31</v>
      </c>
      <c r="E27" s="6">
        <v>17</v>
      </c>
      <c r="F27" s="1">
        <f t="shared" si="0"/>
        <v>54.838709677419352</v>
      </c>
    </row>
    <row r="28" spans="1:8" x14ac:dyDescent="0.25">
      <c r="A28" s="6" t="s">
        <v>82</v>
      </c>
      <c r="B28" s="6" t="s">
        <v>74</v>
      </c>
      <c r="C28" s="6" t="s">
        <v>38</v>
      </c>
      <c r="D28" s="6">
        <v>61</v>
      </c>
      <c r="E28" s="6">
        <v>7</v>
      </c>
      <c r="F28" s="11">
        <f t="shared" si="0"/>
        <v>11.475409836065573</v>
      </c>
    </row>
    <row r="29" spans="1:8" x14ac:dyDescent="0.25">
      <c r="A29" s="6" t="s">
        <v>93</v>
      </c>
      <c r="B29" s="6" t="s">
        <v>92</v>
      </c>
      <c r="C29" s="6" t="s">
        <v>39</v>
      </c>
      <c r="D29" s="6">
        <v>19</v>
      </c>
      <c r="E29" s="6">
        <v>7</v>
      </c>
      <c r="F29" s="1">
        <f t="shared" si="0"/>
        <v>36.84210526315789</v>
      </c>
    </row>
    <row r="30" spans="1:8" x14ac:dyDescent="0.25">
      <c r="C30" s="6" t="s">
        <v>7</v>
      </c>
      <c r="D30" s="6">
        <f>SUM(D2:D29)</f>
        <v>752</v>
      </c>
      <c r="E30" s="6">
        <f>SUM(E2:E29)</f>
        <v>210</v>
      </c>
      <c r="F30" s="1">
        <f t="shared" si="0"/>
        <v>27.925531914893615</v>
      </c>
    </row>
    <row r="33" spans="1:8" x14ac:dyDescent="0.25">
      <c r="A33" s="6" t="s">
        <v>104</v>
      </c>
      <c r="D33" s="6">
        <f>D2+D8+D10+D12+D14+D15+D18+D24+D26+D28</f>
        <v>325</v>
      </c>
      <c r="E33" s="6">
        <f>E2+E8+E10+E12+E14+E15+E18+E24+E26+E28</f>
        <v>40</v>
      </c>
      <c r="H33" t="s">
        <v>106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D11" sqref="D11"/>
    </sheetView>
  </sheetViews>
  <sheetFormatPr baseColWidth="10" defaultRowHeight="15" x14ac:dyDescent="0.25"/>
  <cols>
    <col min="1" max="1" width="42.42578125" customWidth="1"/>
  </cols>
  <sheetData>
    <row r="1" spans="1:3" x14ac:dyDescent="0.25">
      <c r="A1" t="s">
        <v>68</v>
      </c>
    </row>
    <row r="2" spans="1:3" x14ac:dyDescent="0.25">
      <c r="A2" t="s">
        <v>45</v>
      </c>
      <c r="B2" t="s">
        <v>45</v>
      </c>
    </row>
    <row r="3" spans="1:3" x14ac:dyDescent="0.25">
      <c r="A3" t="s">
        <v>46</v>
      </c>
      <c r="B3">
        <v>203</v>
      </c>
      <c r="C3">
        <f>B3</f>
        <v>203</v>
      </c>
    </row>
    <row r="4" spans="1:3" x14ac:dyDescent="0.25">
      <c r="A4" t="s">
        <v>47</v>
      </c>
      <c r="B4">
        <v>489</v>
      </c>
    </row>
    <row r="5" spans="1:3" x14ac:dyDescent="0.25">
      <c r="A5" t="s">
        <v>48</v>
      </c>
      <c r="B5">
        <v>33</v>
      </c>
      <c r="C5">
        <f>B5+B6+B7+B8+B9+B10+B11+B12+B13</f>
        <v>248</v>
      </c>
    </row>
    <row r="6" spans="1:3" x14ac:dyDescent="0.25">
      <c r="A6" t="s">
        <v>49</v>
      </c>
      <c r="B6">
        <v>49</v>
      </c>
    </row>
    <row r="7" spans="1:3" x14ac:dyDescent="0.25">
      <c r="A7" t="s">
        <v>50</v>
      </c>
      <c r="B7">
        <v>65</v>
      </c>
    </row>
    <row r="8" spans="1:3" x14ac:dyDescent="0.25">
      <c r="A8" t="s">
        <v>51</v>
      </c>
      <c r="B8">
        <v>21</v>
      </c>
    </row>
    <row r="9" spans="1:3" x14ac:dyDescent="0.25">
      <c r="A9" t="s">
        <v>52</v>
      </c>
      <c r="B9">
        <v>8</v>
      </c>
    </row>
    <row r="10" spans="1:3" x14ac:dyDescent="0.25">
      <c r="A10" t="s">
        <v>53</v>
      </c>
      <c r="B10">
        <v>41</v>
      </c>
    </row>
    <row r="11" spans="1:3" x14ac:dyDescent="0.25">
      <c r="A11" t="s">
        <v>54</v>
      </c>
      <c r="B11">
        <v>4</v>
      </c>
    </row>
    <row r="12" spans="1:3" x14ac:dyDescent="0.25">
      <c r="A12" t="s">
        <v>55</v>
      </c>
      <c r="B12">
        <v>20</v>
      </c>
    </row>
    <row r="13" spans="1:3" x14ac:dyDescent="0.25">
      <c r="A13" t="s">
        <v>56</v>
      </c>
      <c r="B13">
        <v>7</v>
      </c>
    </row>
    <row r="14" spans="1:3" x14ac:dyDescent="0.25">
      <c r="A14" t="s">
        <v>57</v>
      </c>
      <c r="B14">
        <v>17</v>
      </c>
      <c r="C14">
        <f>B14+B15+B16+B17+B18+B19+B20+B21+B22</f>
        <v>140</v>
      </c>
    </row>
    <row r="15" spans="1:3" x14ac:dyDescent="0.25">
      <c r="A15" t="s">
        <v>58</v>
      </c>
      <c r="B15">
        <v>7</v>
      </c>
    </row>
    <row r="16" spans="1:3" x14ac:dyDescent="0.25">
      <c r="A16" t="s">
        <v>59</v>
      </c>
      <c r="B16">
        <v>2</v>
      </c>
    </row>
    <row r="17" spans="1:3" x14ac:dyDescent="0.25">
      <c r="A17" t="s">
        <v>60</v>
      </c>
      <c r="B17">
        <v>18</v>
      </c>
    </row>
    <row r="18" spans="1:3" x14ac:dyDescent="0.25">
      <c r="A18" t="s">
        <v>61</v>
      </c>
      <c r="B18">
        <v>8</v>
      </c>
    </row>
    <row r="19" spans="1:3" x14ac:dyDescent="0.25">
      <c r="A19" t="s">
        <v>62</v>
      </c>
      <c r="B19">
        <v>19</v>
      </c>
    </row>
    <row r="20" spans="1:3" x14ac:dyDescent="0.25">
      <c r="A20" t="s">
        <v>63</v>
      </c>
      <c r="B20">
        <v>24</v>
      </c>
    </row>
    <row r="21" spans="1:3" x14ac:dyDescent="0.25">
      <c r="A21" t="s">
        <v>64</v>
      </c>
      <c r="B21">
        <v>16</v>
      </c>
    </row>
    <row r="22" spans="1:3" x14ac:dyDescent="0.25">
      <c r="A22" t="s">
        <v>65</v>
      </c>
      <c r="B22">
        <v>29</v>
      </c>
    </row>
    <row r="23" spans="1:3" x14ac:dyDescent="0.25">
      <c r="A23" t="s">
        <v>66</v>
      </c>
      <c r="B23">
        <v>25</v>
      </c>
      <c r="C23">
        <f>B23</f>
        <v>25</v>
      </c>
    </row>
    <row r="24" spans="1:3" x14ac:dyDescent="0.25">
      <c r="A24" t="s">
        <v>67</v>
      </c>
      <c r="B24">
        <v>23</v>
      </c>
      <c r="C24">
        <f>B24</f>
        <v>23</v>
      </c>
    </row>
    <row r="25" spans="1:3" x14ac:dyDescent="0.25">
      <c r="C25">
        <f>SUM(C3:C24)</f>
        <v>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8"/>
  <sheetViews>
    <sheetView workbookViewId="0">
      <selection activeCell="B12" sqref="B12"/>
    </sheetView>
  </sheetViews>
  <sheetFormatPr baseColWidth="10" defaultRowHeight="15" x14ac:dyDescent="0.25"/>
  <sheetData>
    <row r="3" spans="2:8" x14ac:dyDescent="0.25">
      <c r="B3" t="s">
        <v>0</v>
      </c>
    </row>
    <row r="5" spans="2:8" x14ac:dyDescent="0.25"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2:8" x14ac:dyDescent="0.25">
      <c r="B6" t="s">
        <v>9</v>
      </c>
      <c r="C6">
        <v>1116</v>
      </c>
      <c r="D6">
        <v>387</v>
      </c>
      <c r="E6">
        <v>257</v>
      </c>
      <c r="F6">
        <v>181</v>
      </c>
      <c r="G6">
        <v>18</v>
      </c>
      <c r="H6">
        <f>SUM(C6:G6)</f>
        <v>1959</v>
      </c>
    </row>
    <row r="7" spans="2:8" x14ac:dyDescent="0.25">
      <c r="B7" t="s">
        <v>1</v>
      </c>
      <c r="C7">
        <v>436</v>
      </c>
      <c r="D7">
        <v>182</v>
      </c>
      <c r="E7">
        <v>115</v>
      </c>
      <c r="F7">
        <v>100</v>
      </c>
      <c r="G7">
        <v>12</v>
      </c>
      <c r="H7">
        <f>SUM(C7:G7)</f>
        <v>845</v>
      </c>
    </row>
    <row r="8" spans="2:8" x14ac:dyDescent="0.25">
      <c r="B8" t="s">
        <v>8</v>
      </c>
      <c r="C8" s="1">
        <f>C7/C6</f>
        <v>0.39068100358422941</v>
      </c>
      <c r="D8" s="1">
        <f t="shared" ref="D8:H8" si="0">D7/D6</f>
        <v>0.47028423772609818</v>
      </c>
      <c r="E8" s="1">
        <f t="shared" si="0"/>
        <v>0.44747081712062259</v>
      </c>
      <c r="F8" s="1">
        <f t="shared" si="0"/>
        <v>0.5524861878453039</v>
      </c>
      <c r="G8" s="1">
        <f t="shared" si="0"/>
        <v>0.66666666666666663</v>
      </c>
      <c r="H8" s="1">
        <f t="shared" si="0"/>
        <v>0.43134252169474224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Postulantes 2021</vt:lpstr>
      <vt:lpstr>Postulantes 2022</vt:lpstr>
      <vt:lpstr>Postulantes 2023</vt:lpstr>
      <vt:lpstr>Postulantes otros 2023</vt:lpstr>
      <vt:lpstr>Ingresos 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2025-08-14T16:58:35Z</dcterms:created>
  <dcterms:modified xsi:type="dcterms:W3CDTF">2025-08-15T14:32:31Z</dcterms:modified>
</cp:coreProperties>
</file>